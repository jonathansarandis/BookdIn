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Pricing Breakdown" sheetId="2" state="visible" r:id="rId4"/>
    <sheet name="Section Task Detail" sheetId="3" state="visible" r:id="rId5"/>
    <sheet name="Add-Ons (Reference)" sheetId="4" state="visible" r:id="rId6"/>
    <sheet name="Worked Example"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<sst xmlns="http://schemas.openxmlformats.org/spreadsheetml/2006/main" count="261" uniqueCount="143">
  <si>
    <t xml:space="preserve">Clean Freaks — Self-Service Price Configurator</t>
  </si>
  <si>
    <t xml:space="preserve">Per-task price breakdown for General Clean &amp; Deep Reset Clean — draft for Reyan's review</t>
  </si>
  <si>
    <t xml:space="preserve">Prepared September 17, 2026</t>
  </si>
  <si>
    <t xml:space="preserve">What this is</t>
  </si>
  <si>
    <t xml:space="preserve">The plan is to let a customer see their full quote at the end of the booking form, then remove specific cleaning tasks themselves to bring the price down to fit their budget — instead of a VA negotiating scope on a call after the fact. This workbook only covers General Clean and Deep Reset Clean, as agreed. End of Lease is excluded (its bond-back guarantee makes scope reduction risky).</t>
  </si>
  <si>
    <t xml:space="preserve">How the numbers were built</t>
  </si>
  <si>
    <t xml:space="preserve">Today, General and Deep Clean are priced as one flat number per bedroom count — there's no price attached to any individual task. To let a customer deselect tasks, each task needs its own dollar figure. The 'Pricing Breakdown' tab groups the checklist into 5 sections (All Areas / Floors / Bathroom / Kitchen / Bedroom) and splits the current live base price across them by roughly how much time/effort each section takes on a typical job. These weightings are my first-pass estimate, not measured time-and-motion data — this is exactly what we want Reyan to sanity-check, since he does these jobs and will know if, say, Kitchen should carry more weight than Bathroom, or if a specific task is worth more or less than its section implies.</t>
  </si>
  <si>
    <t xml:space="preserve">Every section price is shown alongside the live website base price for that tier, and the two always add up exactly — nothing here changes what Clean Freaks charges today, it only breaks the existing number into removable pieces.</t>
  </si>
  <si>
    <t xml:space="preserve">The $70 Deep Clean premium</t>
  </si>
  <si>
    <t xml:space="preserve">Deep Reset Clean only adds two tasks versus General Clean: scrubbing wall tiles/grout in the bathroom, and cleaning under the rangehood in the kitchen. That's the entire difference — and it happens to be a flat $70 at every bedroom tier on the live site. So Deep Clean = General Clean + a $35 bathroom line and a $35 kitchen line for those two extra tasks. If a customer removes both, they've essentially downgraded to a General Clean price, which is logically consistent.</t>
  </si>
  <si>
    <t xml:space="preserve">The price floor</t>
  </si>
  <si>
    <t xml:space="preserve">Per Jonathan: the absolute minimum any job goes out at is $179 — the price of a 1-bedroom General Clean. No combination of removed tasks, at any bedroom count or service type, can take the total below that. The 'Worked Example' tab shows how that floor behaves in practice using a live formula.</t>
  </si>
  <si>
    <t xml:space="preserve">What's NOT changing</t>
  </si>
  <si>
    <t xml:space="preserve">The 14 existing add-ons (oven, fridge, carpet steam clean, inside windows, etc.) are already individually priced and already fully removable — nothing needs to change there. They're listed on the 'Add-Ons (Reference)' tab for completeness. The extra-bathroom surcharge ($20 General / $40 Deep per bathroom beyond the first) also stays as-is and outside this toggle system — it reflects a physical bathroom that exists in the property, not an optional task, so it isn't something a customer should be able to opt out of.</t>
  </si>
  <si>
    <t xml:space="preserve">Questions for Reyan</t>
  </si>
  <si>
    <t xml:space="preserve">1. Do the 5 section weightings match his real sense of where the time goes on a job? Should any section be heavier or lighter?</t>
  </si>
  <si>
    <t xml:space="preserve">2. Within a section, is there any single task that's disproportionately time-consuming and should be priced/split out on its own rather than bundled? (e.g. is 'Extensive Tidy Up' sometimes the biggest time sink on a messy property?)</t>
  </si>
  <si>
    <t xml:space="preserve">3. Are there any tasks that should never be removable regardless of section — things that are so core to 'a clean' that offering to drop them would look bad or cause complaints? (e.g. Empty Bins, Vacuum/Mop Floors)</t>
  </si>
  <si>
    <t xml:space="preserve">4. Does the $179 floor feel right as a hard stop, or does he see jobs where even that would be tight given the property/subcontractor split?</t>
  </si>
  <si>
    <t xml:space="preserve">General Clean &amp; Deep Reset Clean — Removable Section Pricing</t>
  </si>
  <si>
    <t xml:space="preserve">All dollar figures are draft estimates for review — see 'Read Me' tab. Figures in blue are inputs; totals are formulas.</t>
  </si>
  <si>
    <t xml:space="preserve">Section</t>
  </si>
  <si>
    <t xml:space="preserve">What's included (summary)</t>
  </si>
  <si>
    <t xml:space="preserve">1BR General</t>
  </si>
  <si>
    <t xml:space="preserve">2BR General</t>
  </si>
  <si>
    <t xml:space="preserve">3BR General</t>
  </si>
  <si>
    <t xml:space="preserve">4BR General</t>
  </si>
  <si>
    <t xml:space="preserve">1BR Deep</t>
  </si>
  <si>
    <t xml:space="preserve">2BR Deep</t>
  </si>
  <si>
    <t xml:space="preserve">3BR Deep</t>
  </si>
  <si>
    <t xml:space="preserve">4BR Deep</t>
  </si>
  <si>
    <t xml:space="preserve">All Areas / General Tidy</t>
  </si>
  <si>
    <t xml:space="preserve">Cobwebs, bins, switches/power points, dusting, mirrors, air freshen, under furniture, doors, skirting/sills, soft furnishings, blinds, window tracks, tidy up (max 30 min)</t>
  </si>
  <si>
    <t xml:space="preserve">Floors</t>
  </si>
  <si>
    <t xml:space="preserve">Vacuum/mop all accessible floors</t>
  </si>
  <si>
    <t xml:space="preserve">Bathroom</t>
  </si>
  <si>
    <t xml:space="preserve">Bath, shower, sinks, benches, mirrors, tapware/chrome, cupboards (ext.), bins, toilet. Deep adds: scrub wall tiles/grout.</t>
  </si>
  <si>
    <t xml:space="preserve">Kitchen</t>
  </si>
  <si>
    <t xml:space="preserve">Stovetop, rangehood (ext.), benchtops, appliances (ext.), splashback, tapware, sink, microwave in/out, cupboards (ext.), stainless polish, dusting. Deep adds: underside of rangehood.</t>
  </si>
  <si>
    <t xml:space="preserve">Bedroom</t>
  </si>
  <si>
    <t xml:space="preserve">Make beds, dust/wipe all surfaces</t>
  </si>
  <si>
    <t xml:space="preserve">TOTAL (all sections)</t>
  </si>
  <si>
    <t xml:space="preserve">Should equal the live base price below</t>
  </si>
  <si>
    <t xml:space="preserve">Live website base price</t>
  </si>
  <si>
    <t xml:space="preserve">Check (should be $0)</t>
  </si>
  <si>
    <t xml:space="preserve">Extra bathroom surcharge (locked — not removable, not shown above)</t>
  </si>
  <si>
    <t xml:space="preserve">Per bathroom beyond the first:</t>
  </si>
  <si>
    <t xml:space="preserve">+$20 General  /  +$40 Deep</t>
  </si>
  <si>
    <t xml:space="preserve">Price floor (applies everywhere): no job under $179, regardless of removals.</t>
  </si>
  <si>
    <t xml:space="preserve">Full Task List by Section</t>
  </si>
  <si>
    <t xml:space="preserve">Source: cleanfreaks.au live inclusions chart, General Clean vs Deep Clean.</t>
  </si>
  <si>
    <t xml:space="preserve">Task</t>
  </si>
  <si>
    <t xml:space="preserve">General?</t>
  </si>
  <si>
    <t xml:space="preserve">Deep?</t>
  </si>
  <si>
    <t xml:space="preserve">Cobweb Removal</t>
  </si>
  <si>
    <t xml:space="preserve">Yes</t>
  </si>
  <si>
    <t xml:space="preserve">Empty Bins</t>
  </si>
  <si>
    <t xml:space="preserve">Clean Accessible Light Switches/Power Points</t>
  </si>
  <si>
    <t xml:space="preserve">Dust All Reachable Surfaces</t>
  </si>
  <si>
    <t xml:space="preserve">Dust/Clean Mirrors</t>
  </si>
  <si>
    <t xml:space="preserve">Air Freshen/Deodorise (optional)</t>
  </si>
  <si>
    <t xml:space="preserve">Vacuum Accessible Areas Under Beds/Couches/Furniture</t>
  </si>
  <si>
    <t xml:space="preserve">Dust/Clean Doors</t>
  </si>
  <si>
    <t xml:space="preserve">Dust Skirting Boards/Window Sills/Doors</t>
  </si>
  <si>
    <t xml:space="preserve">Vacuum/Clean Soft Furnishing</t>
  </si>
  <si>
    <t xml:space="preserve">Lightly Dust Blinds</t>
  </si>
  <si>
    <t xml:space="preserve">Vacuum/Wipe Visible Window Tracks/Sills</t>
  </si>
  <si>
    <t xml:space="preserve">Extensive Tidy Up (max 30 min)</t>
  </si>
  <si>
    <t xml:space="preserve">Wipe Skirting Boards/Window Sills/Doors</t>
  </si>
  <si>
    <t xml:space="preserve">Vacuum/Mop All Accessible Floors</t>
  </si>
  <si>
    <t xml:space="preserve">Scrub/Clean Bath</t>
  </si>
  <si>
    <t xml:space="preserve">Scrub/Clean Shower</t>
  </si>
  <si>
    <t xml:space="preserve">Scrub/Clean Sinks</t>
  </si>
  <si>
    <t xml:space="preserve">Wipe Down Benches</t>
  </si>
  <si>
    <t xml:space="preserve">Clean Mirrors</t>
  </si>
  <si>
    <t xml:space="preserve">Clean/Polish Tapware and Chrome</t>
  </si>
  <si>
    <t xml:space="preserve">Wipe Down Cupboards (exterior)</t>
  </si>
  <si>
    <t xml:space="preserve">Clean/Disinfect Toilet</t>
  </si>
  <si>
    <t xml:space="preserve">Scrub Wall Tiles/Grout</t>
  </si>
  <si>
    <t xml:space="preserve">No</t>
  </si>
  <si>
    <t xml:space="preserve">Clean Stovetop</t>
  </si>
  <si>
    <t xml:space="preserve">Clean Rangehood (exterior)</t>
  </si>
  <si>
    <t xml:space="preserve">Clean/Wipe All Benchtops</t>
  </si>
  <si>
    <t xml:space="preserve">Clean Visible Appliances (exterior)</t>
  </si>
  <si>
    <t xml:space="preserve">Clean Splashback</t>
  </si>
  <si>
    <t xml:space="preserve">Clean/Polish Tapware</t>
  </si>
  <si>
    <t xml:space="preserve">Scrub/Clean Sink</t>
  </si>
  <si>
    <t xml:space="preserve">Clean Inside/Outside Microwave</t>
  </si>
  <si>
    <t xml:space="preserve">Clean Cupboards (exterior)</t>
  </si>
  <si>
    <t xml:space="preserve">Polish Stainless Steel Surfaces</t>
  </si>
  <si>
    <t xml:space="preserve">Dust All Surfaces</t>
  </si>
  <si>
    <t xml:space="preserve">Clean Underside of Rangehood</t>
  </si>
  <si>
    <t xml:space="preserve">Make Beds</t>
  </si>
  <si>
    <t xml:space="preserve">Dust/Wipe All Surfaces</t>
  </si>
  <si>
    <t xml:space="preserve">Existing Add-Ons — No Changes Needed</t>
  </si>
  <si>
    <t xml:space="preserve">These are already individually priced and already fully removable/optional today. Live prices from cleanfreaks.au.</t>
  </si>
  <si>
    <t xml:space="preserve">Add-On</t>
  </si>
  <si>
    <t xml:space="preserve">Price</t>
  </si>
  <si>
    <t xml:space="preserve">Notes</t>
  </si>
  <si>
    <t xml:space="preserve">Oven Cleaning</t>
  </si>
  <si>
    <t xml:space="preserve">$65</t>
  </si>
  <si>
    <t xml:space="preserve">Fridge Cleaning</t>
  </si>
  <si>
    <t xml:space="preserve">$35</t>
  </si>
  <si>
    <t xml:space="preserve">Dishes</t>
  </si>
  <si>
    <t xml:space="preserve">Clean Inside Cabinets</t>
  </si>
  <si>
    <t xml:space="preserve">$30 – $100</t>
  </si>
  <si>
    <t xml:space="preserve">Range depends on size/number</t>
  </si>
  <si>
    <t xml:space="preserve">Inside Window Cleaning</t>
  </si>
  <si>
    <t xml:space="preserve">$65 – $150</t>
  </si>
  <si>
    <t xml:space="preserve">Range depends on number of windows</t>
  </si>
  <si>
    <t xml:space="preserve">Wet Wipe Blinds</t>
  </si>
  <si>
    <t xml:space="preserve">$29 / blind</t>
  </si>
  <si>
    <t xml:space="preserve">Clean Walls</t>
  </si>
  <si>
    <t xml:space="preserve">$29 / wall</t>
  </si>
  <si>
    <t xml:space="preserve">Use Green Supplies</t>
  </si>
  <si>
    <t xml:space="preserve">$5</t>
  </si>
  <si>
    <t xml:space="preserve">Bed Linen Change</t>
  </si>
  <si>
    <t xml:space="preserve">$15</t>
  </si>
  <si>
    <t xml:space="preserve">Ironing</t>
  </si>
  <si>
    <t xml:space="preserve">$45 / 30 min</t>
  </si>
  <si>
    <t xml:space="preserve">Laundry Service</t>
  </si>
  <si>
    <t xml:space="preserve">$30 / load</t>
  </si>
  <si>
    <t xml:space="preserve">Balcony / Patio Clean</t>
  </si>
  <si>
    <t xml:space="preserve">$60 – $100</t>
  </si>
  <si>
    <t xml:space="preserve">Garage Clean</t>
  </si>
  <si>
    <t xml:space="preserve">$50+</t>
  </si>
  <si>
    <t xml:space="preserve">Carpet Steam Cleaning</t>
  </si>
  <si>
    <t xml:space="preserve">$100 living/hall + $55/bedroom</t>
  </si>
  <si>
    <t xml:space="preserve">Upholstery steam clean: custom quote</t>
  </si>
  <si>
    <t xml:space="preserve">Worked Example — Price Floor in Action</t>
  </si>
  <si>
    <t xml:space="preserve">Example: a customer configuring a 4BR Deep Reset Clean and removing sections one at a time.</t>
  </si>
  <si>
    <t xml:space="preserve">Price floor</t>
  </si>
  <si>
    <t xml:space="preserve">Fixed minimum — 1BR General Clean price, per Jonathan</t>
  </si>
  <si>
    <t xml:space="preserve">Step (task removed)</t>
  </si>
  <si>
    <t xml:space="preserve">Raw running total</t>
  </si>
  <si>
    <t xml:space="preserve">Price shown to customer (floor applied)</t>
  </si>
  <si>
    <t xml:space="preserve">Full 4BR Deep Reset Clean (nothing removed)</t>
  </si>
  <si>
    <t xml:space="preserve">Remove All Areas / General Tidy (-$64)</t>
  </si>
  <si>
    <t xml:space="preserve">Remove Bedroom (-$26)</t>
  </si>
  <si>
    <t xml:space="preserve">Remove Floors (-$26)</t>
  </si>
  <si>
    <t xml:space="preserve">Remove Kitchen incl. Deep Detail (-$100)</t>
  </si>
  <si>
    <t xml:space="preserve">Remove Bathroom incl. Deep Detail (-$113)</t>
  </si>
  <si>
    <t xml:space="preserve">Once the floor is hit, remaining removable items lock — message: “Minimum job price reached. Our team will call to see what else might be possible.” That's the handoff point where Reyan or Shayne take over, same as today.</t>
  </si>
</sst>
</file>

<file path=xl/styles.xml><?xml version="1.0" encoding="utf-8"?>
<styleSheet xmlns="http://schemas.openxmlformats.org/spreadsheetml/2006/main">
  <numFmts count="2">
    <numFmt numFmtId="164" formatCode="General"/>
    <numFmt numFmtId="165" formatCode="\$#,##0"/>
  </numFmts>
  <fonts count="14">
    <font>
      <sz val="11"/>
      <color theme="1"/>
      <name val="Calibri"/>
      <family val="2"/>
      <charset val="1"/>
    </font>
    <font>
      <sz val="10"/>
      <name val="Arial"/>
      <family val="0"/>
    </font>
    <font>
      <sz val="10"/>
      <name val="Arial"/>
      <family val="0"/>
    </font>
    <font>
      <sz val="10"/>
      <name val="Arial"/>
      <family val="0"/>
    </font>
    <font>
      <b val="true"/>
      <sz val="16"/>
      <color rgb="FF2E74B5"/>
      <name val="Arial"/>
      <family val="0"/>
      <charset val="1"/>
    </font>
    <font>
      <b val="true"/>
      <sz val="12"/>
      <name val="Arial"/>
      <family val="0"/>
      <charset val="1"/>
    </font>
    <font>
      <i val="true"/>
      <sz val="11"/>
      <color rgb="FF666666"/>
      <name val="Arial"/>
      <family val="0"/>
      <charset val="1"/>
    </font>
    <font>
      <b val="true"/>
      <sz val="11"/>
      <name val="Arial"/>
      <family val="0"/>
      <charset val="1"/>
    </font>
    <font>
      <sz val="11"/>
      <color rgb="FF000000"/>
      <name val="Arial"/>
      <family val="0"/>
      <charset val="1"/>
    </font>
    <font>
      <b val="true"/>
      <sz val="11"/>
      <color rgb="FFFFFFFF"/>
      <name val="Arial"/>
      <family val="0"/>
      <charset val="1"/>
    </font>
    <font>
      <sz val="11"/>
      <color rgb="FF0000FF"/>
      <name val="Arial"/>
      <family val="0"/>
      <charset val="1"/>
    </font>
    <font>
      <i val="true"/>
      <sz val="11"/>
      <name val="Arial"/>
      <family val="0"/>
      <charset val="1"/>
    </font>
    <font>
      <b val="true"/>
      <sz val="11"/>
      <color rgb="FFC00000"/>
      <name val="Arial"/>
      <family val="0"/>
      <charset val="1"/>
    </font>
    <font>
      <i val="true"/>
      <sz val="11"/>
      <color rgb="FFC00000"/>
      <name val="Arial"/>
      <family val="0"/>
      <charset val="1"/>
    </font>
  </fonts>
  <fills count="4">
    <fill>
      <patternFill patternType="none"/>
    </fill>
    <fill>
      <patternFill patternType="gray125"/>
    </fill>
    <fill>
      <patternFill patternType="solid">
        <fgColor rgb="FF2E74B5"/>
        <bgColor rgb="FF0066CC"/>
      </patternFill>
    </fill>
    <fill>
      <patternFill patternType="solid">
        <fgColor rgb="FFD9E6F5"/>
        <bgColor rgb="FFCC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5" fontId="10" fillId="0" borderId="1" xfId="0" applyFont="tru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5" fontId="7" fillId="3" borderId="1" xfId="0" applyFont="tru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12" fillId="0" borderId="1" xfId="0" applyFont="true" applyBorder="true" applyAlignment="false" applyProtection="false">
      <alignment horizontal="general" vertical="bottom" textRotation="0" wrapText="false" indent="0" shrinkToFit="false"/>
      <protection locked="true" hidden="false"/>
    </xf>
    <xf numFmtId="165" fontId="10" fillId="0" borderId="0" xfId="0" applyFont="true" applyBorder="false" applyAlignment="false" applyProtection="false">
      <alignment horizontal="general"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64" fontId="13"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D9E6F5"/>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E74B5"/>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95"/>
  </cols>
  <sheetData>
    <row r="1" customFormat="false" ht="19.7"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3" t="s">
        <v>2</v>
      </c>
    </row>
    <row r="5" customFormat="false" ht="13.5" hidden="false" customHeight="true" outlineLevel="0" collapsed="false">
      <c r="A5" s="4" t="s">
        <v>3</v>
      </c>
    </row>
    <row r="6" customFormat="false" ht="55.5" hidden="false" customHeight="true" outlineLevel="0" collapsed="false">
      <c r="A6" s="5" t="s">
        <v>4</v>
      </c>
    </row>
    <row r="7" customFormat="false" ht="13.5" hidden="false" customHeight="true" outlineLevel="0" collapsed="false">
      <c r="A7" s="5"/>
    </row>
    <row r="8" customFormat="false" ht="13.5" hidden="false" customHeight="true" outlineLevel="0" collapsed="false">
      <c r="A8" s="4" t="s">
        <v>5</v>
      </c>
    </row>
    <row r="9" customFormat="false" ht="111.75" hidden="false" customHeight="true" outlineLevel="0" collapsed="false">
      <c r="A9" s="5" t="s">
        <v>6</v>
      </c>
    </row>
    <row r="10" customFormat="false" ht="13.5" hidden="false" customHeight="true" outlineLevel="0" collapsed="false">
      <c r="A10" s="5"/>
    </row>
    <row r="11" customFormat="false" ht="42" hidden="false" customHeight="true" outlineLevel="0" collapsed="false">
      <c r="A11" s="5" t="s">
        <v>7</v>
      </c>
    </row>
    <row r="12" customFormat="false" ht="13.5" hidden="false" customHeight="true" outlineLevel="0" collapsed="false">
      <c r="A12" s="5"/>
    </row>
    <row r="13" customFormat="false" ht="13.5" hidden="false" customHeight="true" outlineLevel="0" collapsed="false">
      <c r="A13" s="4" t="s">
        <v>8</v>
      </c>
    </row>
    <row r="14" customFormat="false" ht="69.75" hidden="false" customHeight="true" outlineLevel="0" collapsed="false">
      <c r="A14" s="5" t="s">
        <v>9</v>
      </c>
    </row>
    <row r="15" customFormat="false" ht="13.5" hidden="false" customHeight="true" outlineLevel="0" collapsed="false">
      <c r="A15" s="5"/>
    </row>
    <row r="16" customFormat="false" ht="13.5" hidden="false" customHeight="true" outlineLevel="0" collapsed="false">
      <c r="A16" s="4" t="s">
        <v>10</v>
      </c>
    </row>
    <row r="17" customFormat="false" ht="42" hidden="false" customHeight="true" outlineLevel="0" collapsed="false">
      <c r="A17" s="5" t="s">
        <v>11</v>
      </c>
    </row>
    <row r="18" customFormat="false" ht="13.5" hidden="false" customHeight="true" outlineLevel="0" collapsed="false">
      <c r="A18" s="5"/>
    </row>
    <row r="19" customFormat="false" ht="13.5" hidden="false" customHeight="true" outlineLevel="0" collapsed="false">
      <c r="A19" s="4" t="s">
        <v>12</v>
      </c>
    </row>
    <row r="20" customFormat="false" ht="69.75" hidden="false" customHeight="true" outlineLevel="0" collapsed="false">
      <c r="A20" s="5" t="s">
        <v>13</v>
      </c>
    </row>
    <row r="21" customFormat="false" ht="13.5" hidden="false" customHeight="true" outlineLevel="0" collapsed="false">
      <c r="A21" s="5"/>
    </row>
    <row r="22" customFormat="false" ht="13.5" hidden="false" customHeight="true" outlineLevel="0" collapsed="false">
      <c r="A22" s="4" t="s">
        <v>14</v>
      </c>
    </row>
    <row r="23" customFormat="false" ht="27.75" hidden="false" customHeight="true" outlineLevel="0" collapsed="false">
      <c r="A23" s="5" t="s">
        <v>15</v>
      </c>
    </row>
    <row r="24" customFormat="false" ht="42" hidden="false" customHeight="true" outlineLevel="0" collapsed="false">
      <c r="A24" s="5" t="s">
        <v>16</v>
      </c>
    </row>
    <row r="25" customFormat="false" ht="42" hidden="false" customHeight="true" outlineLevel="0" collapsed="false">
      <c r="A25" s="5" t="s">
        <v>17</v>
      </c>
    </row>
    <row r="26" customFormat="false" ht="27.75" hidden="false" customHeight="true" outlineLevel="0" collapsed="false">
      <c r="A26" s="5" t="s">
        <v>18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22"/>
    <col collapsed="false" customWidth="true" hidden="false" outlineLevel="0" max="2" min="2" style="0" width="46"/>
    <col collapsed="false" customWidth="true" hidden="false" outlineLevel="0" max="10" min="3" style="0" width="12"/>
  </cols>
  <sheetData>
    <row r="1" customFormat="false" ht="19.7" hidden="false" customHeight="false" outlineLevel="0" collapsed="false">
      <c r="A1" s="1" t="s">
        <v>19</v>
      </c>
    </row>
    <row r="2" customFormat="false" ht="15" hidden="false" customHeight="false" outlineLevel="0" collapsed="false">
      <c r="A2" s="3" t="s">
        <v>20</v>
      </c>
    </row>
    <row r="4" customFormat="false" ht="30" hidden="false" customHeight="true" outlineLevel="0" collapsed="false">
      <c r="A4" s="6" t="s">
        <v>21</v>
      </c>
      <c r="B4" s="6" t="s">
        <v>22</v>
      </c>
      <c r="C4" s="6" t="s">
        <v>23</v>
      </c>
      <c r="D4" s="6" t="s">
        <v>24</v>
      </c>
      <c r="E4" s="6" t="s">
        <v>25</v>
      </c>
      <c r="F4" s="6" t="s">
        <v>26</v>
      </c>
      <c r="G4" s="6" t="s">
        <v>27</v>
      </c>
      <c r="H4" s="6" t="s">
        <v>28</v>
      </c>
      <c r="I4" s="6" t="s">
        <v>29</v>
      </c>
      <c r="J4" s="6" t="s">
        <v>30</v>
      </c>
    </row>
    <row r="5" customFormat="false" ht="42" hidden="false" customHeight="true" outlineLevel="0" collapsed="false">
      <c r="A5" s="7" t="s">
        <v>31</v>
      </c>
      <c r="B5" s="8" t="s">
        <v>32</v>
      </c>
      <c r="C5" s="9" t="n">
        <v>44</v>
      </c>
      <c r="D5" s="9" t="n">
        <v>49</v>
      </c>
      <c r="E5" s="9" t="n">
        <v>54</v>
      </c>
      <c r="F5" s="9" t="n">
        <v>64</v>
      </c>
      <c r="G5" s="10" t="n">
        <f aca="false">C5+0</f>
        <v>44</v>
      </c>
      <c r="H5" s="10" t="n">
        <f aca="false">D5+0</f>
        <v>49</v>
      </c>
      <c r="I5" s="10" t="n">
        <f aca="false">E5+0</f>
        <v>54</v>
      </c>
      <c r="J5" s="10" t="n">
        <f aca="false">F5+0</f>
        <v>64</v>
      </c>
    </row>
    <row r="6" customFormat="false" ht="42" hidden="false" customHeight="true" outlineLevel="0" collapsed="false">
      <c r="A6" s="7" t="s">
        <v>33</v>
      </c>
      <c r="B6" s="8" t="s">
        <v>34</v>
      </c>
      <c r="C6" s="9" t="n">
        <v>18</v>
      </c>
      <c r="D6" s="9" t="n">
        <v>20</v>
      </c>
      <c r="E6" s="9" t="n">
        <v>22</v>
      </c>
      <c r="F6" s="9" t="n">
        <v>26</v>
      </c>
      <c r="G6" s="10" t="n">
        <f aca="false">C6+0</f>
        <v>18</v>
      </c>
      <c r="H6" s="10" t="n">
        <f aca="false">D6+0</f>
        <v>20</v>
      </c>
      <c r="I6" s="10" t="n">
        <f aca="false">E6+0</f>
        <v>22</v>
      </c>
      <c r="J6" s="10" t="n">
        <f aca="false">F6+0</f>
        <v>26</v>
      </c>
    </row>
    <row r="7" customFormat="false" ht="42" hidden="false" customHeight="true" outlineLevel="0" collapsed="false">
      <c r="A7" s="7" t="s">
        <v>35</v>
      </c>
      <c r="B7" s="8" t="s">
        <v>36</v>
      </c>
      <c r="C7" s="9" t="n">
        <v>54</v>
      </c>
      <c r="D7" s="9" t="n">
        <v>60</v>
      </c>
      <c r="E7" s="9" t="n">
        <v>66</v>
      </c>
      <c r="F7" s="9" t="n">
        <v>78</v>
      </c>
      <c r="G7" s="10" t="n">
        <f aca="false">C7+35</f>
        <v>89</v>
      </c>
      <c r="H7" s="10" t="n">
        <f aca="false">D7+35</f>
        <v>95</v>
      </c>
      <c r="I7" s="10" t="n">
        <f aca="false">E7+35</f>
        <v>101</v>
      </c>
      <c r="J7" s="10" t="n">
        <f aca="false">F7+35</f>
        <v>113</v>
      </c>
    </row>
    <row r="8" customFormat="false" ht="42" hidden="false" customHeight="true" outlineLevel="0" collapsed="false">
      <c r="A8" s="7" t="s">
        <v>37</v>
      </c>
      <c r="B8" s="8" t="s">
        <v>38</v>
      </c>
      <c r="C8" s="9" t="n">
        <v>45</v>
      </c>
      <c r="D8" s="9" t="n">
        <v>50</v>
      </c>
      <c r="E8" s="9" t="n">
        <v>55</v>
      </c>
      <c r="F8" s="9" t="n">
        <v>65</v>
      </c>
      <c r="G8" s="10" t="n">
        <f aca="false">C8+35</f>
        <v>80</v>
      </c>
      <c r="H8" s="10" t="n">
        <f aca="false">D8+35</f>
        <v>85</v>
      </c>
      <c r="I8" s="10" t="n">
        <f aca="false">E8+35</f>
        <v>90</v>
      </c>
      <c r="J8" s="10" t="n">
        <f aca="false">F8+35</f>
        <v>100</v>
      </c>
    </row>
    <row r="9" customFormat="false" ht="42" hidden="false" customHeight="true" outlineLevel="0" collapsed="false">
      <c r="A9" s="7" t="s">
        <v>39</v>
      </c>
      <c r="B9" s="8" t="s">
        <v>40</v>
      </c>
      <c r="C9" s="9" t="n">
        <v>18</v>
      </c>
      <c r="D9" s="9" t="n">
        <v>20</v>
      </c>
      <c r="E9" s="9" t="n">
        <v>22</v>
      </c>
      <c r="F9" s="9" t="n">
        <v>26</v>
      </c>
      <c r="G9" s="10" t="n">
        <f aca="false">C9+0</f>
        <v>18</v>
      </c>
      <c r="H9" s="10" t="n">
        <f aca="false">D9+0</f>
        <v>20</v>
      </c>
      <c r="I9" s="10" t="n">
        <f aca="false">E9+0</f>
        <v>22</v>
      </c>
      <c r="J9" s="10" t="n">
        <f aca="false">F9+0</f>
        <v>26</v>
      </c>
    </row>
    <row r="10" customFormat="false" ht="15" hidden="false" customHeight="false" outlineLevel="0" collapsed="false">
      <c r="A10" s="7" t="s">
        <v>41</v>
      </c>
      <c r="B10" s="11" t="s">
        <v>42</v>
      </c>
      <c r="C10" s="12" t="n">
        <f aca="false">SUM(C5:C9)</f>
        <v>179</v>
      </c>
      <c r="D10" s="12" t="n">
        <f aca="false">SUM(D5:D9)</f>
        <v>199</v>
      </c>
      <c r="E10" s="12" t="n">
        <f aca="false">SUM(E5:E9)</f>
        <v>219</v>
      </c>
      <c r="F10" s="12" t="n">
        <f aca="false">SUM(F5:F9)</f>
        <v>259</v>
      </c>
      <c r="G10" s="12" t="n">
        <f aca="false">SUM(G5:G9)</f>
        <v>249</v>
      </c>
      <c r="H10" s="12" t="n">
        <f aca="false">SUM(H5:H9)</f>
        <v>269</v>
      </c>
      <c r="I10" s="12" t="n">
        <f aca="false">SUM(I5:I9)</f>
        <v>289</v>
      </c>
      <c r="J10" s="12" t="n">
        <f aca="false">SUM(J5:J9)</f>
        <v>329</v>
      </c>
    </row>
    <row r="11" customFormat="false" ht="15" hidden="false" customHeight="false" outlineLevel="0" collapsed="false">
      <c r="A11" s="13" t="s">
        <v>43</v>
      </c>
      <c r="B11" s="14"/>
      <c r="C11" s="9" t="n">
        <v>179</v>
      </c>
      <c r="D11" s="9" t="n">
        <v>199</v>
      </c>
      <c r="E11" s="9" t="n">
        <v>219</v>
      </c>
      <c r="F11" s="9" t="n">
        <v>259</v>
      </c>
      <c r="G11" s="9" t="n">
        <v>249</v>
      </c>
      <c r="H11" s="9" t="n">
        <v>269</v>
      </c>
      <c r="I11" s="9" t="n">
        <v>289</v>
      </c>
      <c r="J11" s="9" t="n">
        <v>329</v>
      </c>
    </row>
    <row r="12" customFormat="false" ht="15" hidden="false" customHeight="false" outlineLevel="0" collapsed="false">
      <c r="A12" s="3" t="s">
        <v>44</v>
      </c>
      <c r="C12" s="15" t="n">
        <f aca="false">C10-C11</f>
        <v>0</v>
      </c>
      <c r="D12" s="15" t="n">
        <f aca="false">D10-D11</f>
        <v>0</v>
      </c>
      <c r="E12" s="15" t="n">
        <f aca="false">E10-E11</f>
        <v>0</v>
      </c>
      <c r="F12" s="15" t="n">
        <f aca="false">F10-F11</f>
        <v>0</v>
      </c>
      <c r="G12" s="15" t="n">
        <f aca="false">G10-G11</f>
        <v>0</v>
      </c>
      <c r="H12" s="15" t="n">
        <f aca="false">H10-H11</f>
        <v>0</v>
      </c>
      <c r="I12" s="15" t="n">
        <f aca="false">I10-I11</f>
        <v>0</v>
      </c>
      <c r="J12" s="15" t="n">
        <f aca="false">J10-J11</f>
        <v>0</v>
      </c>
    </row>
    <row r="14" customFormat="false" ht="15" hidden="false" customHeight="false" outlineLevel="0" collapsed="false">
      <c r="A14" s="16" t="s">
        <v>45</v>
      </c>
    </row>
    <row r="15" customFormat="false" ht="15" hidden="false" customHeight="false" outlineLevel="0" collapsed="false">
      <c r="A15" s="17" t="s">
        <v>46</v>
      </c>
      <c r="C15" s="18" t="s">
        <v>47</v>
      </c>
      <c r="D15" s="18"/>
      <c r="E15" s="18"/>
      <c r="F15" s="18"/>
    </row>
    <row r="17" customFormat="false" ht="15" hidden="false" customHeight="false" outlineLevel="0" collapsed="false">
      <c r="A17" s="19" t="s">
        <v>48</v>
      </c>
    </row>
  </sheetData>
  <mergeCells count="1">
    <mergeCell ref="C15:F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2"/>
    <col collapsed="false" customWidth="true" hidden="false" outlineLevel="0" max="2" min="2" style="0" width="55"/>
    <col collapsed="false" customWidth="true" hidden="false" outlineLevel="0" max="3" min="3" style="0" width="14"/>
  </cols>
  <sheetData>
    <row r="1" customFormat="false" ht="19.7" hidden="false" customHeight="false" outlineLevel="0" collapsed="false">
      <c r="A1" s="1" t="s">
        <v>49</v>
      </c>
    </row>
    <row r="2" customFormat="false" ht="15" hidden="false" customHeight="false" outlineLevel="0" collapsed="false">
      <c r="A2" s="3" t="s">
        <v>50</v>
      </c>
    </row>
    <row r="4" customFormat="false" ht="15" hidden="false" customHeight="false" outlineLevel="0" collapsed="false">
      <c r="A4" s="6" t="s">
        <v>21</v>
      </c>
      <c r="B4" s="6" t="s">
        <v>51</v>
      </c>
      <c r="C4" s="6" t="s">
        <v>52</v>
      </c>
      <c r="D4" s="6" t="s">
        <v>53</v>
      </c>
    </row>
    <row r="5" customFormat="false" ht="15" hidden="false" customHeight="false" outlineLevel="0" collapsed="false">
      <c r="A5" s="20" t="s">
        <v>31</v>
      </c>
      <c r="B5" s="20" t="s">
        <v>54</v>
      </c>
      <c r="C5" s="20" t="s">
        <v>55</v>
      </c>
      <c r="D5" s="20" t="s">
        <v>55</v>
      </c>
    </row>
    <row r="6" customFormat="false" ht="15" hidden="false" customHeight="false" outlineLevel="0" collapsed="false">
      <c r="A6" s="20" t="s">
        <v>31</v>
      </c>
      <c r="B6" s="20" t="s">
        <v>56</v>
      </c>
      <c r="C6" s="20" t="s">
        <v>55</v>
      </c>
      <c r="D6" s="20" t="s">
        <v>55</v>
      </c>
    </row>
    <row r="7" customFormat="false" ht="15" hidden="false" customHeight="false" outlineLevel="0" collapsed="false">
      <c r="A7" s="20" t="s">
        <v>31</v>
      </c>
      <c r="B7" s="20" t="s">
        <v>57</v>
      </c>
      <c r="C7" s="20" t="s">
        <v>55</v>
      </c>
      <c r="D7" s="20" t="s">
        <v>55</v>
      </c>
    </row>
    <row r="8" customFormat="false" ht="15" hidden="false" customHeight="false" outlineLevel="0" collapsed="false">
      <c r="A8" s="20" t="s">
        <v>31</v>
      </c>
      <c r="B8" s="20" t="s">
        <v>58</v>
      </c>
      <c r="C8" s="20" t="s">
        <v>55</v>
      </c>
      <c r="D8" s="20" t="s">
        <v>55</v>
      </c>
    </row>
    <row r="9" customFormat="false" ht="15" hidden="false" customHeight="false" outlineLevel="0" collapsed="false">
      <c r="A9" s="20" t="s">
        <v>31</v>
      </c>
      <c r="B9" s="20" t="s">
        <v>59</v>
      </c>
      <c r="C9" s="20" t="s">
        <v>55</v>
      </c>
      <c r="D9" s="20" t="s">
        <v>55</v>
      </c>
    </row>
    <row r="10" customFormat="false" ht="15" hidden="false" customHeight="false" outlineLevel="0" collapsed="false">
      <c r="A10" s="20" t="s">
        <v>31</v>
      </c>
      <c r="B10" s="20" t="s">
        <v>60</v>
      </c>
      <c r="C10" s="20" t="s">
        <v>55</v>
      </c>
      <c r="D10" s="20" t="s">
        <v>55</v>
      </c>
    </row>
    <row r="11" customFormat="false" ht="15" hidden="false" customHeight="false" outlineLevel="0" collapsed="false">
      <c r="A11" s="20" t="s">
        <v>31</v>
      </c>
      <c r="B11" s="20" t="s">
        <v>61</v>
      </c>
      <c r="C11" s="20" t="s">
        <v>55</v>
      </c>
      <c r="D11" s="20" t="s">
        <v>55</v>
      </c>
    </row>
    <row r="12" customFormat="false" ht="15" hidden="false" customHeight="false" outlineLevel="0" collapsed="false">
      <c r="A12" s="20" t="s">
        <v>31</v>
      </c>
      <c r="B12" s="20" t="s">
        <v>62</v>
      </c>
      <c r="C12" s="20" t="s">
        <v>55</v>
      </c>
      <c r="D12" s="20" t="s">
        <v>55</v>
      </c>
    </row>
    <row r="13" customFormat="false" ht="15" hidden="false" customHeight="false" outlineLevel="0" collapsed="false">
      <c r="A13" s="20" t="s">
        <v>31</v>
      </c>
      <c r="B13" s="20" t="s">
        <v>63</v>
      </c>
      <c r="C13" s="20" t="s">
        <v>55</v>
      </c>
      <c r="D13" s="20" t="s">
        <v>55</v>
      </c>
    </row>
    <row r="14" customFormat="false" ht="15" hidden="false" customHeight="false" outlineLevel="0" collapsed="false">
      <c r="A14" s="20" t="s">
        <v>31</v>
      </c>
      <c r="B14" s="20" t="s">
        <v>64</v>
      </c>
      <c r="C14" s="20" t="s">
        <v>55</v>
      </c>
      <c r="D14" s="20" t="s">
        <v>55</v>
      </c>
    </row>
    <row r="15" customFormat="false" ht="15" hidden="false" customHeight="false" outlineLevel="0" collapsed="false">
      <c r="A15" s="20" t="s">
        <v>31</v>
      </c>
      <c r="B15" s="20" t="s">
        <v>65</v>
      </c>
      <c r="C15" s="20" t="s">
        <v>55</v>
      </c>
      <c r="D15" s="20" t="s">
        <v>55</v>
      </c>
    </row>
    <row r="16" customFormat="false" ht="15" hidden="false" customHeight="false" outlineLevel="0" collapsed="false">
      <c r="A16" s="20" t="s">
        <v>31</v>
      </c>
      <c r="B16" s="20" t="s">
        <v>66</v>
      </c>
      <c r="C16" s="20" t="s">
        <v>55</v>
      </c>
      <c r="D16" s="20" t="s">
        <v>55</v>
      </c>
    </row>
    <row r="17" customFormat="false" ht="15" hidden="false" customHeight="false" outlineLevel="0" collapsed="false">
      <c r="A17" s="20" t="s">
        <v>31</v>
      </c>
      <c r="B17" s="20" t="s">
        <v>67</v>
      </c>
      <c r="C17" s="20" t="s">
        <v>55</v>
      </c>
      <c r="D17" s="20" t="s">
        <v>55</v>
      </c>
    </row>
    <row r="18" customFormat="false" ht="15" hidden="false" customHeight="false" outlineLevel="0" collapsed="false">
      <c r="A18" s="20" t="s">
        <v>31</v>
      </c>
      <c r="B18" s="20" t="s">
        <v>68</v>
      </c>
      <c r="C18" s="20" t="s">
        <v>55</v>
      </c>
      <c r="D18" s="20" t="s">
        <v>55</v>
      </c>
    </row>
    <row r="19" customFormat="false" ht="15" hidden="false" customHeight="false" outlineLevel="0" collapsed="false">
      <c r="A19" s="20" t="s">
        <v>33</v>
      </c>
      <c r="B19" s="20" t="s">
        <v>69</v>
      </c>
      <c r="C19" s="20" t="s">
        <v>55</v>
      </c>
      <c r="D19" s="20" t="s">
        <v>55</v>
      </c>
    </row>
    <row r="20" customFormat="false" ht="15" hidden="false" customHeight="false" outlineLevel="0" collapsed="false">
      <c r="A20" s="20" t="s">
        <v>35</v>
      </c>
      <c r="B20" s="20" t="s">
        <v>70</v>
      </c>
      <c r="C20" s="20" t="s">
        <v>55</v>
      </c>
      <c r="D20" s="20" t="s">
        <v>55</v>
      </c>
    </row>
    <row r="21" customFormat="false" ht="15" hidden="false" customHeight="false" outlineLevel="0" collapsed="false">
      <c r="A21" s="20" t="s">
        <v>35</v>
      </c>
      <c r="B21" s="20" t="s">
        <v>71</v>
      </c>
      <c r="C21" s="20" t="s">
        <v>55</v>
      </c>
      <c r="D21" s="20" t="s">
        <v>55</v>
      </c>
    </row>
    <row r="22" customFormat="false" ht="15" hidden="false" customHeight="false" outlineLevel="0" collapsed="false">
      <c r="A22" s="20" t="s">
        <v>35</v>
      </c>
      <c r="B22" s="20" t="s">
        <v>72</v>
      </c>
      <c r="C22" s="20" t="s">
        <v>55</v>
      </c>
      <c r="D22" s="20" t="s">
        <v>55</v>
      </c>
    </row>
    <row r="23" customFormat="false" ht="15" hidden="false" customHeight="false" outlineLevel="0" collapsed="false">
      <c r="A23" s="20" t="s">
        <v>35</v>
      </c>
      <c r="B23" s="20" t="s">
        <v>73</v>
      </c>
      <c r="C23" s="20" t="s">
        <v>55</v>
      </c>
      <c r="D23" s="20" t="s">
        <v>55</v>
      </c>
    </row>
    <row r="24" customFormat="false" ht="15" hidden="false" customHeight="false" outlineLevel="0" collapsed="false">
      <c r="A24" s="20" t="s">
        <v>35</v>
      </c>
      <c r="B24" s="20" t="s">
        <v>74</v>
      </c>
      <c r="C24" s="20" t="s">
        <v>55</v>
      </c>
      <c r="D24" s="20" t="s">
        <v>55</v>
      </c>
    </row>
    <row r="25" customFormat="false" ht="15" hidden="false" customHeight="false" outlineLevel="0" collapsed="false">
      <c r="A25" s="20" t="s">
        <v>35</v>
      </c>
      <c r="B25" s="20" t="s">
        <v>75</v>
      </c>
      <c r="C25" s="20" t="s">
        <v>55</v>
      </c>
      <c r="D25" s="20" t="s">
        <v>55</v>
      </c>
    </row>
    <row r="26" customFormat="false" ht="15" hidden="false" customHeight="false" outlineLevel="0" collapsed="false">
      <c r="A26" s="20" t="s">
        <v>35</v>
      </c>
      <c r="B26" s="20" t="s">
        <v>76</v>
      </c>
      <c r="C26" s="20" t="s">
        <v>55</v>
      </c>
      <c r="D26" s="20" t="s">
        <v>55</v>
      </c>
    </row>
    <row r="27" customFormat="false" ht="15" hidden="false" customHeight="false" outlineLevel="0" collapsed="false">
      <c r="A27" s="20" t="s">
        <v>35</v>
      </c>
      <c r="B27" s="20" t="s">
        <v>56</v>
      </c>
      <c r="C27" s="20" t="s">
        <v>55</v>
      </c>
      <c r="D27" s="20" t="s">
        <v>55</v>
      </c>
    </row>
    <row r="28" customFormat="false" ht="15" hidden="false" customHeight="false" outlineLevel="0" collapsed="false">
      <c r="A28" s="20" t="s">
        <v>35</v>
      </c>
      <c r="B28" s="20" t="s">
        <v>77</v>
      </c>
      <c r="C28" s="20" t="s">
        <v>55</v>
      </c>
      <c r="D28" s="20" t="s">
        <v>55</v>
      </c>
    </row>
    <row r="29" customFormat="false" ht="15" hidden="false" customHeight="false" outlineLevel="0" collapsed="false">
      <c r="A29" s="20" t="s">
        <v>35</v>
      </c>
      <c r="B29" s="21" t="s">
        <v>78</v>
      </c>
      <c r="C29" s="20" t="s">
        <v>79</v>
      </c>
      <c r="D29" s="21" t="s">
        <v>55</v>
      </c>
    </row>
    <row r="30" customFormat="false" ht="15" hidden="false" customHeight="false" outlineLevel="0" collapsed="false">
      <c r="A30" s="20" t="s">
        <v>37</v>
      </c>
      <c r="B30" s="20" t="s">
        <v>80</v>
      </c>
      <c r="C30" s="20" t="s">
        <v>55</v>
      </c>
      <c r="D30" s="20" t="s">
        <v>55</v>
      </c>
    </row>
    <row r="31" customFormat="false" ht="15" hidden="false" customHeight="false" outlineLevel="0" collapsed="false">
      <c r="A31" s="20" t="s">
        <v>37</v>
      </c>
      <c r="B31" s="20" t="s">
        <v>81</v>
      </c>
      <c r="C31" s="20" t="s">
        <v>55</v>
      </c>
      <c r="D31" s="20" t="s">
        <v>55</v>
      </c>
    </row>
    <row r="32" customFormat="false" ht="15" hidden="false" customHeight="false" outlineLevel="0" collapsed="false">
      <c r="A32" s="20" t="s">
        <v>37</v>
      </c>
      <c r="B32" s="20" t="s">
        <v>82</v>
      </c>
      <c r="C32" s="20" t="s">
        <v>55</v>
      </c>
      <c r="D32" s="20" t="s">
        <v>55</v>
      </c>
    </row>
    <row r="33" customFormat="false" ht="15" hidden="false" customHeight="false" outlineLevel="0" collapsed="false">
      <c r="A33" s="20" t="s">
        <v>37</v>
      </c>
      <c r="B33" s="20" t="s">
        <v>83</v>
      </c>
      <c r="C33" s="20" t="s">
        <v>55</v>
      </c>
      <c r="D33" s="20" t="s">
        <v>55</v>
      </c>
    </row>
    <row r="34" customFormat="false" ht="15" hidden="false" customHeight="false" outlineLevel="0" collapsed="false">
      <c r="A34" s="20" t="s">
        <v>37</v>
      </c>
      <c r="B34" s="20" t="s">
        <v>84</v>
      </c>
      <c r="C34" s="20" t="s">
        <v>55</v>
      </c>
      <c r="D34" s="20" t="s">
        <v>55</v>
      </c>
    </row>
    <row r="35" customFormat="false" ht="15" hidden="false" customHeight="false" outlineLevel="0" collapsed="false">
      <c r="A35" s="20" t="s">
        <v>37</v>
      </c>
      <c r="B35" s="20" t="s">
        <v>85</v>
      </c>
      <c r="C35" s="20" t="s">
        <v>55</v>
      </c>
      <c r="D35" s="20" t="s">
        <v>55</v>
      </c>
    </row>
    <row r="36" customFormat="false" ht="15" hidden="false" customHeight="false" outlineLevel="0" collapsed="false">
      <c r="A36" s="20" t="s">
        <v>37</v>
      </c>
      <c r="B36" s="20" t="s">
        <v>86</v>
      </c>
      <c r="C36" s="20" t="s">
        <v>55</v>
      </c>
      <c r="D36" s="20" t="s">
        <v>55</v>
      </c>
    </row>
    <row r="37" customFormat="false" ht="15" hidden="false" customHeight="false" outlineLevel="0" collapsed="false">
      <c r="A37" s="20" t="s">
        <v>37</v>
      </c>
      <c r="B37" s="20" t="s">
        <v>87</v>
      </c>
      <c r="C37" s="20" t="s">
        <v>55</v>
      </c>
      <c r="D37" s="20" t="s">
        <v>55</v>
      </c>
    </row>
    <row r="38" customFormat="false" ht="15" hidden="false" customHeight="false" outlineLevel="0" collapsed="false">
      <c r="A38" s="20" t="s">
        <v>37</v>
      </c>
      <c r="B38" s="20" t="s">
        <v>88</v>
      </c>
      <c r="C38" s="20" t="s">
        <v>55</v>
      </c>
      <c r="D38" s="20" t="s">
        <v>55</v>
      </c>
    </row>
    <row r="39" customFormat="false" ht="15" hidden="false" customHeight="false" outlineLevel="0" collapsed="false">
      <c r="A39" s="20" t="s">
        <v>37</v>
      </c>
      <c r="B39" s="20" t="s">
        <v>89</v>
      </c>
      <c r="C39" s="20" t="s">
        <v>55</v>
      </c>
      <c r="D39" s="20" t="s">
        <v>55</v>
      </c>
    </row>
    <row r="40" customFormat="false" ht="15" hidden="false" customHeight="false" outlineLevel="0" collapsed="false">
      <c r="A40" s="20" t="s">
        <v>37</v>
      </c>
      <c r="B40" s="20" t="s">
        <v>90</v>
      </c>
      <c r="C40" s="20" t="s">
        <v>55</v>
      </c>
      <c r="D40" s="20" t="s">
        <v>55</v>
      </c>
    </row>
    <row r="41" customFormat="false" ht="15" hidden="false" customHeight="false" outlineLevel="0" collapsed="false">
      <c r="A41" s="20" t="s">
        <v>37</v>
      </c>
      <c r="B41" s="21" t="s">
        <v>91</v>
      </c>
      <c r="C41" s="20" t="s">
        <v>79</v>
      </c>
      <c r="D41" s="21" t="s">
        <v>55</v>
      </c>
    </row>
    <row r="42" customFormat="false" ht="15" hidden="false" customHeight="false" outlineLevel="0" collapsed="false">
      <c r="A42" s="20" t="s">
        <v>39</v>
      </c>
      <c r="B42" s="20" t="s">
        <v>92</v>
      </c>
      <c r="C42" s="20" t="s">
        <v>55</v>
      </c>
      <c r="D42" s="20" t="s">
        <v>55</v>
      </c>
    </row>
    <row r="43" customFormat="false" ht="15" hidden="false" customHeight="false" outlineLevel="0" collapsed="false">
      <c r="A43" s="20" t="s">
        <v>39</v>
      </c>
      <c r="B43" s="20" t="s">
        <v>93</v>
      </c>
      <c r="C43" s="20" t="s">
        <v>55</v>
      </c>
      <c r="D43" s="20" t="s">
        <v>55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30"/>
    <col collapsed="false" customWidth="true" hidden="false" outlineLevel="0" max="2" min="2" style="0" width="24"/>
    <col collapsed="false" customWidth="true" hidden="false" outlineLevel="0" max="3" min="3" style="0" width="50"/>
  </cols>
  <sheetData>
    <row r="1" customFormat="false" ht="19.7" hidden="false" customHeight="false" outlineLevel="0" collapsed="false">
      <c r="A1" s="1" t="s">
        <v>94</v>
      </c>
    </row>
    <row r="2" customFormat="false" ht="15" hidden="false" customHeight="false" outlineLevel="0" collapsed="false">
      <c r="A2" s="3" t="s">
        <v>95</v>
      </c>
    </row>
    <row r="4" customFormat="false" ht="15" hidden="false" customHeight="false" outlineLevel="0" collapsed="false">
      <c r="A4" s="6" t="s">
        <v>96</v>
      </c>
      <c r="B4" s="6" t="s">
        <v>97</v>
      </c>
      <c r="C4" s="6" t="s">
        <v>98</v>
      </c>
    </row>
    <row r="5" customFormat="false" ht="15" hidden="false" customHeight="false" outlineLevel="0" collapsed="false">
      <c r="A5" s="20" t="s">
        <v>99</v>
      </c>
      <c r="B5" s="20" t="s">
        <v>100</v>
      </c>
      <c r="C5" s="11"/>
    </row>
    <row r="6" customFormat="false" ht="15" hidden="false" customHeight="false" outlineLevel="0" collapsed="false">
      <c r="A6" s="20" t="s">
        <v>101</v>
      </c>
      <c r="B6" s="20" t="s">
        <v>102</v>
      </c>
      <c r="C6" s="11"/>
    </row>
    <row r="7" customFormat="false" ht="15" hidden="false" customHeight="false" outlineLevel="0" collapsed="false">
      <c r="A7" s="20" t="s">
        <v>103</v>
      </c>
      <c r="B7" s="20" t="s">
        <v>102</v>
      </c>
      <c r="C7" s="11"/>
    </row>
    <row r="8" customFormat="false" ht="15" hidden="false" customHeight="false" outlineLevel="0" collapsed="false">
      <c r="A8" s="20" t="s">
        <v>104</v>
      </c>
      <c r="B8" s="20" t="s">
        <v>105</v>
      </c>
      <c r="C8" s="11" t="s">
        <v>106</v>
      </c>
    </row>
    <row r="9" customFormat="false" ht="15" hidden="false" customHeight="false" outlineLevel="0" collapsed="false">
      <c r="A9" s="20" t="s">
        <v>107</v>
      </c>
      <c r="B9" s="20" t="s">
        <v>108</v>
      </c>
      <c r="C9" s="11" t="s">
        <v>109</v>
      </c>
    </row>
    <row r="10" customFormat="false" ht="15" hidden="false" customHeight="false" outlineLevel="0" collapsed="false">
      <c r="A10" s="20" t="s">
        <v>110</v>
      </c>
      <c r="B10" s="20" t="s">
        <v>111</v>
      </c>
      <c r="C10" s="11"/>
    </row>
    <row r="11" customFormat="false" ht="15" hidden="false" customHeight="false" outlineLevel="0" collapsed="false">
      <c r="A11" s="20" t="s">
        <v>112</v>
      </c>
      <c r="B11" s="20" t="s">
        <v>113</v>
      </c>
      <c r="C11" s="11"/>
    </row>
    <row r="12" customFormat="false" ht="15" hidden="false" customHeight="false" outlineLevel="0" collapsed="false">
      <c r="A12" s="20" t="s">
        <v>114</v>
      </c>
      <c r="B12" s="20" t="s">
        <v>115</v>
      </c>
      <c r="C12" s="11"/>
    </row>
    <row r="13" customFormat="false" ht="15" hidden="false" customHeight="false" outlineLevel="0" collapsed="false">
      <c r="A13" s="20" t="s">
        <v>116</v>
      </c>
      <c r="B13" s="20" t="s">
        <v>117</v>
      </c>
      <c r="C13" s="11"/>
    </row>
    <row r="14" customFormat="false" ht="15" hidden="false" customHeight="false" outlineLevel="0" collapsed="false">
      <c r="A14" s="20" t="s">
        <v>118</v>
      </c>
      <c r="B14" s="20" t="s">
        <v>119</v>
      </c>
      <c r="C14" s="11"/>
    </row>
    <row r="15" customFormat="false" ht="15" hidden="false" customHeight="false" outlineLevel="0" collapsed="false">
      <c r="A15" s="20" t="s">
        <v>120</v>
      </c>
      <c r="B15" s="20" t="s">
        <v>121</v>
      </c>
      <c r="C15" s="11"/>
    </row>
    <row r="16" customFormat="false" ht="15" hidden="false" customHeight="false" outlineLevel="0" collapsed="false">
      <c r="A16" s="20" t="s">
        <v>122</v>
      </c>
      <c r="B16" s="20" t="s">
        <v>123</v>
      </c>
      <c r="C16" s="11"/>
    </row>
    <row r="17" customFormat="false" ht="15" hidden="false" customHeight="false" outlineLevel="0" collapsed="false">
      <c r="A17" s="20" t="s">
        <v>124</v>
      </c>
      <c r="B17" s="20" t="s">
        <v>125</v>
      </c>
      <c r="C17" s="11"/>
    </row>
    <row r="18" customFormat="false" ht="15" hidden="false" customHeight="false" outlineLevel="0" collapsed="false">
      <c r="A18" s="20" t="s">
        <v>126</v>
      </c>
      <c r="B18" s="20" t="s">
        <v>127</v>
      </c>
      <c r="C18" s="11" t="s">
        <v>128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0"/>
    <col collapsed="false" customWidth="true" hidden="false" outlineLevel="0" max="2" min="2" style="0" width="16"/>
    <col collapsed="false" customWidth="true" hidden="false" outlineLevel="0" max="3" min="3" style="0" width="60"/>
  </cols>
  <sheetData>
    <row r="1" customFormat="false" ht="19.7" hidden="false" customHeight="false" outlineLevel="0" collapsed="false">
      <c r="A1" s="1" t="s">
        <v>129</v>
      </c>
    </row>
    <row r="2" customFormat="false" ht="15" hidden="false" customHeight="false" outlineLevel="0" collapsed="false">
      <c r="A2" s="3" t="s">
        <v>130</v>
      </c>
    </row>
    <row r="4" customFormat="false" ht="15" hidden="false" customHeight="false" outlineLevel="0" collapsed="false">
      <c r="A4" s="16" t="s">
        <v>131</v>
      </c>
      <c r="B4" s="22" t="n">
        <v>179</v>
      </c>
      <c r="C4" s="3" t="s">
        <v>132</v>
      </c>
    </row>
    <row r="6" customFormat="false" ht="26.85" hidden="false" customHeight="false" outlineLevel="0" collapsed="false">
      <c r="A6" s="6" t="s">
        <v>133</v>
      </c>
      <c r="B6" s="6" t="s">
        <v>134</v>
      </c>
      <c r="C6" s="6" t="s">
        <v>135</v>
      </c>
    </row>
    <row r="7" customFormat="false" ht="15" hidden="false" customHeight="false" outlineLevel="0" collapsed="false">
      <c r="A7" s="20" t="s">
        <v>136</v>
      </c>
      <c r="B7" s="9" t="n">
        <v>329</v>
      </c>
      <c r="C7" s="23" t="n">
        <f aca="false">MAX($B$4,B7)</f>
        <v>329</v>
      </c>
    </row>
    <row r="8" customFormat="false" ht="15" hidden="false" customHeight="false" outlineLevel="0" collapsed="false">
      <c r="A8" s="20" t="s">
        <v>137</v>
      </c>
      <c r="B8" s="9" t="n">
        <v>265</v>
      </c>
      <c r="C8" s="23" t="n">
        <f aca="false">MAX($B$4,B8)</f>
        <v>265</v>
      </c>
    </row>
    <row r="9" customFormat="false" ht="15" hidden="false" customHeight="false" outlineLevel="0" collapsed="false">
      <c r="A9" s="20" t="s">
        <v>138</v>
      </c>
      <c r="B9" s="9" t="n">
        <v>239</v>
      </c>
      <c r="C9" s="23" t="n">
        <f aca="false">MAX($B$4,B9)</f>
        <v>239</v>
      </c>
    </row>
    <row r="10" customFormat="false" ht="15" hidden="false" customHeight="false" outlineLevel="0" collapsed="false">
      <c r="A10" s="20" t="s">
        <v>139</v>
      </c>
      <c r="B10" s="9" t="n">
        <v>213</v>
      </c>
      <c r="C10" s="23" t="n">
        <f aca="false">MAX($B$4,B10)</f>
        <v>213</v>
      </c>
    </row>
    <row r="11" customFormat="false" ht="15" hidden="false" customHeight="false" outlineLevel="0" collapsed="false">
      <c r="A11" s="20" t="s">
        <v>140</v>
      </c>
      <c r="B11" s="9" t="n">
        <v>113</v>
      </c>
      <c r="C11" s="23" t="n">
        <f aca="false">MAX($B$4,B11)</f>
        <v>179</v>
      </c>
    </row>
    <row r="12" customFormat="false" ht="15" hidden="false" customHeight="false" outlineLevel="0" collapsed="false">
      <c r="A12" s="20" t="s">
        <v>141</v>
      </c>
      <c r="B12" s="9" t="n">
        <v>0</v>
      </c>
      <c r="C12" s="23" t="n">
        <f aca="false">MAX($B$4,B12)</f>
        <v>179</v>
      </c>
    </row>
    <row r="14" customFormat="false" ht="30" hidden="false" customHeight="true" outlineLevel="0" collapsed="false">
      <c r="A14" s="24" t="s">
        <v>142</v>
      </c>
      <c r="B14" s="24"/>
      <c r="C14" s="24"/>
    </row>
  </sheetData>
  <mergeCells count="1">
    <mergeCell ref="A14:C1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2026-09-17T14:20:22Z</dcterms:created>
  <dc:creator>openpyxl</dc:creator>
  <dc:description/>
  <dc:language>en-US</dc:language>
  <cp:lastModifiedBy/>
  <dcterms:modified xsi:type="dcterms:W3CDTF">2026-09-17T14:20:22Z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